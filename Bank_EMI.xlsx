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inance -2024" sheetId="3" r:id="rId1"/>
    <sheet name="EMIs &amp; OS" sheetId="6" r:id="rId2"/>
    <sheet name="Kalyani-EMIs" sheetId="9" r:id="rId3"/>
    <sheet name="Company Fundamentals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6" l="1"/>
  <c r="H4" i="6"/>
  <c r="H3" i="6"/>
  <c r="H6" i="6"/>
  <c r="H7" i="6"/>
  <c r="C8" i="3"/>
  <c r="D8" i="3"/>
  <c r="I16" i="3"/>
  <c r="I8" i="3"/>
  <c r="H8" i="3"/>
  <c r="J7" i="6" l="1"/>
  <c r="I3" i="6"/>
  <c r="I4" i="6"/>
  <c r="I5" i="6"/>
  <c r="I6" i="6"/>
  <c r="I7" i="6"/>
  <c r="D1" i="6"/>
  <c r="I1" i="6" l="1"/>
  <c r="J1" i="9"/>
  <c r="O1" i="9"/>
  <c r="H1" i="9"/>
  <c r="D1" i="9"/>
  <c r="O3" i="9"/>
  <c r="F6" i="9"/>
  <c r="O6" i="9"/>
  <c r="O5" i="9"/>
  <c r="F3" i="9"/>
  <c r="O4" i="9"/>
  <c r="O3" i="6" l="1"/>
  <c r="O4" i="6"/>
  <c r="O5" i="6"/>
  <c r="O6" i="6"/>
  <c r="O7" i="6"/>
  <c r="N1" i="6"/>
  <c r="M1" i="6"/>
  <c r="L1" i="6"/>
  <c r="K1" i="6"/>
  <c r="F1" i="6"/>
  <c r="C1" i="6"/>
  <c r="J1" i="6"/>
  <c r="K26" i="3"/>
  <c r="F14" i="3"/>
  <c r="O1" i="6" l="1"/>
  <c r="G16" i="3"/>
  <c r="G8" i="3"/>
  <c r="F8" i="3" l="1"/>
  <c r="F16" i="3"/>
  <c r="G21" i="3" l="1"/>
  <c r="E8" i="3" l="1"/>
  <c r="F21" i="3" l="1"/>
  <c r="E21" i="3"/>
  <c r="D21" i="3"/>
  <c r="E16" i="3"/>
  <c r="F25" i="3" l="1"/>
  <c r="E26" i="3" l="1"/>
  <c r="S10" i="3"/>
  <c r="S9" i="3"/>
  <c r="S7" i="3"/>
  <c r="S6" i="3"/>
  <c r="S5" i="3"/>
  <c r="S4" i="3"/>
  <c r="S3" i="3"/>
  <c r="E24" i="3"/>
  <c r="R16" i="3"/>
  <c r="Q16" i="3"/>
  <c r="P16" i="3"/>
  <c r="O16" i="3"/>
  <c r="N16" i="3"/>
  <c r="M16" i="3"/>
  <c r="L16" i="3"/>
  <c r="K16" i="3"/>
  <c r="J16" i="3"/>
  <c r="H16" i="3"/>
  <c r="S2" i="3"/>
  <c r="C21" i="3"/>
  <c r="D24" i="3"/>
  <c r="D16" i="3"/>
  <c r="C16" i="3"/>
  <c r="S16" i="3" l="1"/>
</calcChain>
</file>

<file path=xl/comments1.xml><?xml version="1.0" encoding="utf-8"?>
<comments xmlns="http://schemas.openxmlformats.org/spreadsheetml/2006/main">
  <authors>
    <author>Author</author>
  </authors>
  <commentList>
    <comment ref="F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107858 out standing 
minimum 5400
Paid-10000
</t>
        </r>
      </text>
    </comment>
    <comment ref="G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102417
mini 5130
</t>
        </r>
      </text>
    </comment>
    <comment ref="F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due 236948.15
minimum 15161
paid-15161
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due 249308.60
paid-15409</t>
        </r>
      </text>
    </comment>
  </commentList>
</comments>
</file>

<file path=xl/sharedStrings.xml><?xml version="1.0" encoding="utf-8"?>
<sst xmlns="http://schemas.openxmlformats.org/spreadsheetml/2006/main" count="96" uniqueCount="72">
  <si>
    <t>HDFC</t>
  </si>
  <si>
    <t>Axis</t>
  </si>
  <si>
    <t>ICICI</t>
  </si>
  <si>
    <t>idfc bank</t>
  </si>
  <si>
    <t>%5 Star</t>
  </si>
  <si>
    <t>EMI Details</t>
  </si>
  <si>
    <t>Month Emi</t>
  </si>
  <si>
    <t xml:space="preserve">Total </t>
  </si>
  <si>
    <t>Date EmI</t>
  </si>
  <si>
    <t xml:space="preserve">Credit card HDFC out standing </t>
  </si>
  <si>
    <t>Axis Bank</t>
  </si>
  <si>
    <t>Total</t>
  </si>
  <si>
    <t>Dokra</t>
  </si>
  <si>
    <t>Auto charges</t>
  </si>
  <si>
    <t>10th</t>
  </si>
  <si>
    <t>11th</t>
  </si>
  <si>
    <t xml:space="preserve">10th </t>
  </si>
  <si>
    <t xml:space="preserve">7th </t>
  </si>
  <si>
    <t xml:space="preserve">5th </t>
  </si>
  <si>
    <t>Balance</t>
  </si>
  <si>
    <t>HSBC</t>
  </si>
  <si>
    <t>Driver</t>
  </si>
  <si>
    <t>Salary</t>
  </si>
  <si>
    <t>Income</t>
  </si>
  <si>
    <t>Anand K</t>
  </si>
  <si>
    <t>Room Rent</t>
  </si>
  <si>
    <t>Total EMI</t>
  </si>
  <si>
    <t>Kalyani</t>
  </si>
  <si>
    <t>lenin</t>
  </si>
  <si>
    <t>Bharatpe</t>
  </si>
  <si>
    <t>Revenue</t>
  </si>
  <si>
    <t>Net Income</t>
  </si>
  <si>
    <t>EPS</t>
  </si>
  <si>
    <t>P/E Ratio</t>
  </si>
  <si>
    <t>Debt to equity Ratio</t>
  </si>
  <si>
    <t>ROE</t>
  </si>
  <si>
    <t>Divided Yield</t>
  </si>
  <si>
    <t>Profit Margin</t>
  </si>
  <si>
    <t>Cashflow</t>
  </si>
  <si>
    <t>growth Rate</t>
  </si>
  <si>
    <t>ONGC</t>
  </si>
  <si>
    <t>hdfc</t>
  </si>
  <si>
    <t>icc</t>
  </si>
  <si>
    <t>axis</t>
  </si>
  <si>
    <t xml:space="preserve">credit </t>
  </si>
  <si>
    <t>5 star</t>
  </si>
  <si>
    <t>48K</t>
  </si>
  <si>
    <t>80K</t>
  </si>
  <si>
    <t>O/S</t>
  </si>
  <si>
    <t>Bank PS loan</t>
  </si>
  <si>
    <t>AXIS BANK</t>
  </si>
  <si>
    <t>TOTAL LOAN</t>
  </si>
  <si>
    <t>Interest %</t>
  </si>
  <si>
    <t>EMI</t>
  </si>
  <si>
    <t>Paid months</t>
  </si>
  <si>
    <t>Remining Months</t>
  </si>
  <si>
    <t>Tenure months</t>
  </si>
  <si>
    <t>ICICI BANK</t>
  </si>
  <si>
    <t>HDFC Bank</t>
  </si>
  <si>
    <t>5 STAR FIN</t>
  </si>
  <si>
    <t>Column1</t>
  </si>
  <si>
    <t>CONTACT NO</t>
  </si>
  <si>
    <t>PS FEE</t>
  </si>
  <si>
    <t>STAMP DUTY</t>
  </si>
  <si>
    <t>INSU. PRI</t>
  </si>
  <si>
    <t>PRE.EMI IN.</t>
  </si>
  <si>
    <t>TOAL PS</t>
  </si>
  <si>
    <t>LPHYD00042264491</t>
  </si>
  <si>
    <t>PPR000809081064</t>
  </si>
  <si>
    <t>Loan No</t>
  </si>
  <si>
    <t>SL.No</t>
  </si>
  <si>
    <t>IDFC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</si>
</sst>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rgb="FF333333"/>
      <name val="Arial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1">
    <xf numFmtId="0" fontId="0" fillId="0" borderId="0" xfId="0"/>
    <xf numFmtId="15" fontId="0" fillId="0" borderId="0" xfId="0" applyNumberFormat="1"/>
    <xf numFmtId="0" fontId="1" fillId="0" borderId="0" xfId="0" applyFont="1"/>
    <xf numFmtId="17" fontId="1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3" fontId="5" fillId="0" borderId="0" xfId="0" applyNumberFormat="1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0" borderId="1" xfId="0" applyBorder="1"/>
    <xf numFmtId="3" fontId="0" fillId="0" borderId="0" xfId="0" applyNumberFormat="1"/>
    <xf numFmtId="0" fontId="8" fillId="0" borderId="0" xfId="0" applyFont="1"/>
    <xf numFmtId="0" fontId="0" fillId="6" borderId="0" xfId="0" applyFill="1"/>
    <xf numFmtId="0" fontId="1" fillId="0" borderId="1" xfId="0" applyFont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6" borderId="2" xfId="0" applyFill="1" applyBorder="1"/>
    <xf numFmtId="0" fontId="0" fillId="6" borderId="3" xfId="0" applyFill="1" applyBorder="1"/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3" fontId="1" fillId="0" borderId="1" xfId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3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B2:O7" totalsRowShown="0" headerRowDxfId="34" dataDxfId="33">
  <autoFilter ref="B2:O7"/>
  <tableColumns count="14">
    <tableColumn id="1" name="Bank PS loan" dataDxfId="32"/>
    <tableColumn id="2" name="TOTAL LOAN" dataDxfId="31" dataCellStyle="Comma"/>
    <tableColumn id="3" name="Interest %" dataDxfId="30"/>
    <tableColumn id="4" name="Tenure months" dataDxfId="29"/>
    <tableColumn id="5" name="EMI" dataDxfId="28" dataCellStyle="Comma"/>
    <tableColumn id="6" name="Paid months" dataDxfId="27"/>
    <tableColumn id="7" name="Remining Months" dataDxfId="26"/>
    <tableColumn id="9" name="Column1" dataDxfId="25">
      <calculatedColumnFormula>Table1[[#This Row],[Paid months]]*Table1[[#This Row],[EMI]]</calculatedColumnFormula>
    </tableColumn>
    <tableColumn id="8" name="O/S" dataDxfId="24" dataCellStyle="Comma"/>
    <tableColumn id="10" name="PS FEE" dataDxfId="23"/>
    <tableColumn id="11" name="STAMP DUTY" dataDxfId="22"/>
    <tableColumn id="12" name="INSU. PRI" dataDxfId="21"/>
    <tableColumn id="13" name="PRE.EMI IN." dataDxfId="20"/>
    <tableColumn id="14" name="TOAL PS" dataDxfId="19">
      <calculatedColumnFormula>SUM(Table1[[#This Row],[PS FEE]:[PRE.EMI IN.]])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Q7" totalsRowShown="0" headerRowDxfId="18" dataDxfId="17">
  <autoFilter ref="A2:Q7"/>
  <tableColumns count="17">
    <tableColumn id="1" name="SL.No" dataDxfId="16"/>
    <tableColumn id="2" name="Loan No" dataDxfId="15"/>
    <tableColumn id="3" name="Bank PS loan" dataDxfId="14"/>
    <tableColumn id="4" name="TOTAL LOAN" dataDxfId="13"/>
    <tableColumn id="5" name="Interest %" dataDxfId="12"/>
    <tableColumn id="6" name="Tenure months" dataDxfId="11">
      <calculatedColumnFormula>3+365+31+29+24</calculatedColumnFormula>
    </tableColumn>
    <tableColumn id="7" name="EMI" dataDxfId="10"/>
    <tableColumn id="8" name="Paid months" dataDxfId="9"/>
    <tableColumn id="9" name="Remining Months" dataDxfId="8"/>
    <tableColumn id="10" name="O/S" dataDxfId="7">
      <calculatedColumnFormula>(657272-H3)</calculatedColumnFormula>
    </tableColumn>
    <tableColumn id="11" name="PS FEE" dataDxfId="6"/>
    <tableColumn id="12" name="STAMP DUTY" dataDxfId="5"/>
    <tableColumn id="13" name="INSU. PRI" dataDxfId="4"/>
    <tableColumn id="14" name="PRE.EMI IN." dataDxfId="3"/>
    <tableColumn id="15" name="TOAL PS" dataDxfId="2">
      <calculatedColumnFormula>SUM(K3:N7)</calculatedColumnFormula>
    </tableColumn>
    <tableColumn id="16" name="CONTACT NO" dataDxfId="1"/>
    <tableColumn id="17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2"/>
  <sheetViews>
    <sheetView tabSelected="1" workbookViewId="0">
      <selection activeCell="A15" sqref="A15"/>
    </sheetView>
  </sheetViews>
  <sheetFormatPr defaultRowHeight="14.5" x14ac:dyDescent="0.35"/>
  <cols>
    <col min="1" max="1" width="9.36328125" bestFit="1" customWidth="1"/>
    <col min="2" max="2" width="18.08984375" customWidth="1"/>
    <col min="3" max="3" width="10" bestFit="1" customWidth="1"/>
  </cols>
  <sheetData>
    <row r="1" spans="1:19" x14ac:dyDescent="0.35">
      <c r="A1" s="2" t="s">
        <v>8</v>
      </c>
      <c r="B1" s="2" t="s">
        <v>5</v>
      </c>
      <c r="C1" s="2" t="s">
        <v>6</v>
      </c>
      <c r="D1" s="3">
        <v>45231</v>
      </c>
      <c r="E1" s="3">
        <v>45261</v>
      </c>
      <c r="F1" s="3">
        <v>45292</v>
      </c>
      <c r="G1" s="3">
        <v>45323</v>
      </c>
      <c r="H1" s="3">
        <v>45352</v>
      </c>
      <c r="I1" s="3">
        <v>45383</v>
      </c>
      <c r="J1" s="3">
        <v>45413</v>
      </c>
      <c r="K1" s="3">
        <v>45444</v>
      </c>
      <c r="L1" s="3">
        <v>45474</v>
      </c>
      <c r="M1" s="3">
        <v>45505</v>
      </c>
      <c r="N1" s="3">
        <v>45536</v>
      </c>
      <c r="O1" s="3">
        <v>45566</v>
      </c>
      <c r="P1" s="3">
        <v>45597</v>
      </c>
      <c r="Q1" s="3">
        <v>45627</v>
      </c>
      <c r="R1" s="3">
        <v>45658</v>
      </c>
      <c r="S1" t="s">
        <v>7</v>
      </c>
    </row>
    <row r="2" spans="1:19" x14ac:dyDescent="0.35">
      <c r="A2" s="1" t="s">
        <v>17</v>
      </c>
      <c r="B2" s="6" t="s">
        <v>0</v>
      </c>
      <c r="C2" s="8">
        <v>21830</v>
      </c>
      <c r="D2" s="8">
        <v>21830</v>
      </c>
      <c r="E2" s="9">
        <v>21830</v>
      </c>
      <c r="F2" s="5">
        <v>21830</v>
      </c>
      <c r="G2" s="5">
        <v>21830</v>
      </c>
      <c r="H2" s="5">
        <v>21830</v>
      </c>
      <c r="I2" s="5">
        <v>21830</v>
      </c>
      <c r="J2" s="5">
        <v>21830</v>
      </c>
      <c r="K2" s="5">
        <v>21830</v>
      </c>
      <c r="L2" s="5">
        <v>21830</v>
      </c>
      <c r="M2" s="5">
        <v>21830</v>
      </c>
      <c r="N2" s="5"/>
      <c r="O2" s="5"/>
      <c r="P2" s="5"/>
      <c r="Q2" s="5"/>
      <c r="R2" s="5"/>
      <c r="S2" s="5">
        <f>SUM(D2:R2)</f>
        <v>218300</v>
      </c>
    </row>
    <row r="3" spans="1:19" x14ac:dyDescent="0.35">
      <c r="A3" s="1" t="s">
        <v>17</v>
      </c>
      <c r="B3" s="6" t="s">
        <v>0</v>
      </c>
      <c r="C3" s="8">
        <v>31701</v>
      </c>
      <c r="D3" s="8">
        <v>31701</v>
      </c>
      <c r="E3" s="9">
        <v>31701</v>
      </c>
      <c r="F3" s="5">
        <v>31701</v>
      </c>
      <c r="G3" s="5">
        <v>31701</v>
      </c>
      <c r="H3" s="5">
        <v>31701</v>
      </c>
      <c r="I3" s="5">
        <v>31701</v>
      </c>
      <c r="J3" s="5">
        <v>31701</v>
      </c>
      <c r="K3" s="5">
        <v>31701</v>
      </c>
      <c r="L3" s="5">
        <v>31701</v>
      </c>
      <c r="M3" s="5">
        <v>31701</v>
      </c>
      <c r="N3" s="5"/>
      <c r="O3" s="5"/>
      <c r="P3" s="5"/>
      <c r="Q3" s="5"/>
      <c r="R3" s="5"/>
      <c r="S3" s="5">
        <f t="shared" ref="S3:S10" si="0">SUM(D3:R3)</f>
        <v>317010</v>
      </c>
    </row>
    <row r="4" spans="1:19" x14ac:dyDescent="0.35">
      <c r="A4" s="1" t="s">
        <v>18</v>
      </c>
      <c r="B4" s="6" t="s">
        <v>1</v>
      </c>
      <c r="C4" s="5">
        <v>21830</v>
      </c>
      <c r="D4" s="5">
        <v>21737</v>
      </c>
      <c r="E4" s="9">
        <v>21737</v>
      </c>
      <c r="F4" s="5">
        <v>21737</v>
      </c>
      <c r="G4" s="5">
        <v>21737</v>
      </c>
      <c r="H4" s="5">
        <v>21737</v>
      </c>
      <c r="I4" s="5">
        <v>21737</v>
      </c>
      <c r="J4" s="5">
        <v>21737</v>
      </c>
      <c r="K4" s="5">
        <v>21737</v>
      </c>
      <c r="L4" s="5">
        <v>21737</v>
      </c>
      <c r="M4" s="5">
        <v>21737</v>
      </c>
      <c r="N4" s="5"/>
      <c r="O4" s="5"/>
      <c r="P4" s="5"/>
      <c r="Q4" s="5"/>
      <c r="R4" s="5"/>
      <c r="S4" s="5">
        <f t="shared" si="0"/>
        <v>217370</v>
      </c>
    </row>
    <row r="5" spans="1:19" x14ac:dyDescent="0.35">
      <c r="A5" s="1" t="s">
        <v>18</v>
      </c>
      <c r="B5" s="6" t="s">
        <v>2</v>
      </c>
      <c r="C5" s="5">
        <v>6585</v>
      </c>
      <c r="D5" s="5">
        <v>6585</v>
      </c>
      <c r="E5" s="9">
        <v>6585</v>
      </c>
      <c r="F5" s="5">
        <v>6585</v>
      </c>
      <c r="G5" s="5">
        <v>6585</v>
      </c>
      <c r="H5" s="5">
        <v>6585</v>
      </c>
      <c r="I5" s="5">
        <v>6585</v>
      </c>
      <c r="J5" s="5">
        <v>6585</v>
      </c>
      <c r="K5" s="5">
        <v>6585</v>
      </c>
      <c r="L5" s="5">
        <v>6585</v>
      </c>
      <c r="M5" s="5">
        <v>6585</v>
      </c>
      <c r="N5" s="5"/>
      <c r="O5" s="5"/>
      <c r="P5" s="5"/>
      <c r="Q5" s="5"/>
      <c r="R5" s="5"/>
      <c r="S5" s="5">
        <f t="shared" si="0"/>
        <v>65850</v>
      </c>
    </row>
    <row r="6" spans="1:19" x14ac:dyDescent="0.35">
      <c r="A6" s="1" t="s">
        <v>17</v>
      </c>
      <c r="B6" s="6" t="s">
        <v>3</v>
      </c>
      <c r="C6" s="5">
        <v>6851</v>
      </c>
      <c r="D6" s="5">
        <v>6851</v>
      </c>
      <c r="E6" s="9">
        <v>6851</v>
      </c>
      <c r="F6" s="5">
        <v>6791</v>
      </c>
      <c r="G6" s="5">
        <v>27411</v>
      </c>
      <c r="H6" s="5">
        <v>2500</v>
      </c>
      <c r="I6" s="5">
        <v>13000</v>
      </c>
      <c r="J6" s="5">
        <v>13000</v>
      </c>
      <c r="K6" s="5">
        <v>13000</v>
      </c>
      <c r="L6" s="5">
        <v>0</v>
      </c>
      <c r="M6" s="5">
        <v>0</v>
      </c>
      <c r="N6" s="5"/>
      <c r="O6" s="5"/>
      <c r="P6" s="5"/>
      <c r="Q6" s="5"/>
      <c r="R6" s="5"/>
      <c r="S6" s="5">
        <f t="shared" si="0"/>
        <v>89404</v>
      </c>
    </row>
    <row r="7" spans="1:19" x14ac:dyDescent="0.35">
      <c r="A7" s="1" t="s">
        <v>16</v>
      </c>
      <c r="B7" s="6" t="s">
        <v>4</v>
      </c>
      <c r="C7" s="5">
        <v>8581</v>
      </c>
      <c r="D7" s="5">
        <v>8581</v>
      </c>
      <c r="E7" s="9">
        <v>8581</v>
      </c>
      <c r="F7" s="5">
        <v>8581</v>
      </c>
      <c r="G7" s="5">
        <v>8581</v>
      </c>
      <c r="H7" s="5">
        <v>8581</v>
      </c>
      <c r="I7" s="5">
        <v>8581</v>
      </c>
      <c r="J7" s="5">
        <v>8581</v>
      </c>
      <c r="K7" s="5">
        <v>8581</v>
      </c>
      <c r="L7" s="5">
        <v>8581</v>
      </c>
      <c r="M7" s="5">
        <v>8581</v>
      </c>
      <c r="N7" s="5">
        <v>8581</v>
      </c>
      <c r="O7" s="5"/>
      <c r="P7" s="5"/>
      <c r="Q7" s="5"/>
      <c r="R7" s="5"/>
      <c r="S7" s="5">
        <f t="shared" si="0"/>
        <v>94391</v>
      </c>
    </row>
    <row r="8" spans="1:19" x14ac:dyDescent="0.35">
      <c r="A8" s="1" t="s">
        <v>26</v>
      </c>
      <c r="B8" s="6"/>
      <c r="C8" s="11">
        <f t="shared" ref="C8:I8" si="1">SUM(C2:C7)</f>
        <v>97378</v>
      </c>
      <c r="D8" s="11">
        <f t="shared" si="1"/>
        <v>97285</v>
      </c>
      <c r="E8" s="11">
        <f t="shared" si="1"/>
        <v>97285</v>
      </c>
      <c r="F8" s="11">
        <f t="shared" si="1"/>
        <v>97225</v>
      </c>
      <c r="G8" s="11">
        <f t="shared" si="1"/>
        <v>117845</v>
      </c>
      <c r="H8" s="11">
        <f t="shared" si="1"/>
        <v>92934</v>
      </c>
      <c r="I8" s="11">
        <f t="shared" si="1"/>
        <v>103434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35">
      <c r="A9" s="1" t="s">
        <v>14</v>
      </c>
      <c r="B9" s="6" t="s">
        <v>12</v>
      </c>
      <c r="C9" s="5">
        <v>5100</v>
      </c>
      <c r="D9" s="5">
        <v>5100</v>
      </c>
      <c r="E9" s="5">
        <v>5100</v>
      </c>
      <c r="F9" s="5"/>
      <c r="G9" s="5">
        <v>0</v>
      </c>
      <c r="H9" s="5"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10200</v>
      </c>
    </row>
    <row r="10" spans="1:19" x14ac:dyDescent="0.35">
      <c r="A10" s="1" t="s">
        <v>15</v>
      </c>
      <c r="B10" s="6" t="s">
        <v>13</v>
      </c>
      <c r="C10" s="5">
        <v>3500</v>
      </c>
      <c r="D10" s="5">
        <v>3500</v>
      </c>
      <c r="E10" s="5">
        <v>0</v>
      </c>
      <c r="F10" s="5"/>
      <c r="G10" s="5">
        <v>0</v>
      </c>
      <c r="H10" s="5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3500</v>
      </c>
    </row>
    <row r="11" spans="1:19" x14ac:dyDescent="0.35">
      <c r="A11" s="1" t="s">
        <v>25</v>
      </c>
      <c r="B11" s="6"/>
      <c r="C11" s="5"/>
      <c r="D11" s="5"/>
      <c r="E11" s="5"/>
      <c r="F11" s="5">
        <v>4500</v>
      </c>
      <c r="G11" s="5">
        <v>4000</v>
      </c>
      <c r="H11" s="5">
        <v>4500</v>
      </c>
      <c r="I11" s="5">
        <v>5000</v>
      </c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5">
      <c r="A12" s="1" t="s">
        <v>24</v>
      </c>
      <c r="B12" s="6"/>
      <c r="C12" s="5"/>
      <c r="D12" s="5"/>
      <c r="E12" s="5"/>
      <c r="F12" s="5">
        <v>5000</v>
      </c>
      <c r="G12" s="5">
        <v>5000</v>
      </c>
      <c r="H12" s="5">
        <v>0</v>
      </c>
      <c r="I12" s="5"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35">
      <c r="A13" s="1" t="s">
        <v>29</v>
      </c>
      <c r="B13" s="6"/>
      <c r="C13" s="5"/>
      <c r="D13" s="5"/>
      <c r="E13" s="5"/>
      <c r="F13" s="5"/>
      <c r="G13" s="5">
        <v>5000</v>
      </c>
      <c r="H13" s="5">
        <v>0</v>
      </c>
      <c r="I13" s="5"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35">
      <c r="A14" s="1" t="s">
        <v>27</v>
      </c>
      <c r="B14" s="6"/>
      <c r="C14" s="5"/>
      <c r="D14" s="5"/>
      <c r="E14" s="5"/>
      <c r="F14" s="5">
        <f>13000+20000</f>
        <v>33000</v>
      </c>
      <c r="G14" s="5">
        <v>20000</v>
      </c>
      <c r="H14" s="5">
        <v>0</v>
      </c>
      <c r="I14" s="5"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5">
      <c r="A15" s="1" t="s">
        <v>28</v>
      </c>
      <c r="B15" s="6"/>
      <c r="C15" s="5"/>
      <c r="D15" s="5"/>
      <c r="E15" s="5"/>
      <c r="F15" s="12">
        <v>7000</v>
      </c>
      <c r="G15" s="5">
        <v>7000</v>
      </c>
      <c r="H15" s="5">
        <v>0</v>
      </c>
      <c r="I15" s="5"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35">
      <c r="B16" s="6" t="s">
        <v>11</v>
      </c>
      <c r="C16" s="8">
        <f>SUM(C2:C7)</f>
        <v>97378</v>
      </c>
      <c r="D16" s="8">
        <f>SUM(D2:D7)</f>
        <v>97285</v>
      </c>
      <c r="E16" s="8">
        <f>SUM(E2:E7)</f>
        <v>97285</v>
      </c>
      <c r="F16" s="8">
        <f>SUM(F9:F15)</f>
        <v>49500</v>
      </c>
      <c r="G16" s="8">
        <f>SUM(G2:G7)</f>
        <v>117845</v>
      </c>
      <c r="H16" s="8">
        <f t="shared" ref="H16:S16" si="2">SUM(H2:H7)</f>
        <v>92934</v>
      </c>
      <c r="I16" s="8">
        <f>SUM(I2:I15)</f>
        <v>211868</v>
      </c>
      <c r="J16" s="8">
        <f t="shared" si="2"/>
        <v>103434</v>
      </c>
      <c r="K16" s="8">
        <f t="shared" si="2"/>
        <v>103434</v>
      </c>
      <c r="L16" s="8">
        <f t="shared" si="2"/>
        <v>90434</v>
      </c>
      <c r="M16" s="8">
        <f t="shared" si="2"/>
        <v>90434</v>
      </c>
      <c r="N16" s="8">
        <f t="shared" si="2"/>
        <v>8581</v>
      </c>
      <c r="O16" s="8">
        <f t="shared" si="2"/>
        <v>0</v>
      </c>
      <c r="P16" s="8">
        <f t="shared" si="2"/>
        <v>0</v>
      </c>
      <c r="Q16" s="8">
        <f t="shared" si="2"/>
        <v>0</v>
      </c>
      <c r="R16" s="8">
        <f t="shared" si="2"/>
        <v>0</v>
      </c>
      <c r="S16" s="8">
        <f t="shared" si="2"/>
        <v>1002325</v>
      </c>
    </row>
    <row r="17" spans="1:19" x14ac:dyDescent="0.35"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ht="30" customHeight="1" x14ac:dyDescent="0.35">
      <c r="B18" s="7" t="s">
        <v>9</v>
      </c>
      <c r="C18" s="10">
        <v>127573</v>
      </c>
      <c r="D18" s="5">
        <v>10000</v>
      </c>
      <c r="E18" s="5">
        <v>20000</v>
      </c>
      <c r="F18" s="5">
        <v>10000</v>
      </c>
      <c r="G18" s="5">
        <v>10000</v>
      </c>
      <c r="H18" s="5"/>
      <c r="I18" s="5"/>
      <c r="J18" s="5"/>
      <c r="K18" s="5"/>
      <c r="L18" s="5"/>
      <c r="M18" s="5">
        <v>124960</v>
      </c>
      <c r="N18" s="5">
        <v>10000</v>
      </c>
      <c r="O18" s="5"/>
      <c r="P18" s="5"/>
      <c r="Q18" s="5"/>
      <c r="R18" s="5"/>
      <c r="S18" s="5"/>
    </row>
    <row r="19" spans="1:19" x14ac:dyDescent="0.35">
      <c r="B19" s="6" t="s">
        <v>10</v>
      </c>
      <c r="C19" s="10">
        <v>247000</v>
      </c>
      <c r="D19" s="5">
        <v>0</v>
      </c>
      <c r="E19" s="5">
        <v>20000</v>
      </c>
      <c r="F19" s="5">
        <v>15161</v>
      </c>
      <c r="G19" s="5">
        <v>15409</v>
      </c>
      <c r="H19" s="5"/>
      <c r="I19" s="5"/>
      <c r="J19" s="5"/>
      <c r="K19" s="5"/>
      <c r="L19" s="5"/>
      <c r="M19" s="5">
        <v>237024.91</v>
      </c>
      <c r="N19" s="5">
        <v>20000</v>
      </c>
      <c r="O19" s="5"/>
      <c r="P19" s="5"/>
      <c r="Q19" s="5"/>
      <c r="R19" s="5"/>
      <c r="S19" s="5"/>
    </row>
    <row r="20" spans="1:19" x14ac:dyDescent="0.35">
      <c r="B20" s="6" t="s">
        <v>71</v>
      </c>
      <c r="C20" s="10"/>
      <c r="D20" s="5"/>
      <c r="E20" s="5"/>
      <c r="F20" s="5"/>
      <c r="G20" s="5"/>
      <c r="H20" s="5"/>
      <c r="I20" s="5"/>
      <c r="J20" s="5"/>
      <c r="K20" s="5"/>
      <c r="L20" s="5"/>
      <c r="M20" s="5">
        <v>24343</v>
      </c>
      <c r="N20" s="5">
        <v>1000</v>
      </c>
      <c r="O20" s="5"/>
      <c r="P20" s="5"/>
      <c r="Q20" s="5"/>
      <c r="R20" s="5"/>
      <c r="S20" s="5"/>
    </row>
    <row r="21" spans="1:19" x14ac:dyDescent="0.35">
      <c r="B21" s="6"/>
      <c r="C21" s="6">
        <f>SUM(C18:C20)</f>
        <v>374573</v>
      </c>
      <c r="D21" s="6">
        <f>SUM(D18:D20)</f>
        <v>10000</v>
      </c>
      <c r="E21" s="6">
        <f>SUM(E18:E20)</f>
        <v>40000</v>
      </c>
      <c r="F21" s="6">
        <f>SUM(F18:F20)</f>
        <v>25161</v>
      </c>
      <c r="G21" s="6">
        <f>SUM(G18:G20)</f>
        <v>25409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35">
      <c r="A22" t="s">
        <v>19</v>
      </c>
      <c r="B22" s="6" t="s">
        <v>0</v>
      </c>
      <c r="C22" s="5"/>
      <c r="D22" s="5">
        <v>0</v>
      </c>
      <c r="E22" s="5">
        <v>61714.73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35">
      <c r="B23" s="6" t="s">
        <v>20</v>
      </c>
      <c r="C23" s="5"/>
      <c r="D23" s="5">
        <v>0</v>
      </c>
      <c r="E23" s="5">
        <v>32538.02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35">
      <c r="A24" t="s">
        <v>11</v>
      </c>
      <c r="B24" s="6"/>
      <c r="C24" s="5"/>
      <c r="D24" s="6">
        <f>SUM(D22:D23)</f>
        <v>0</v>
      </c>
      <c r="E24" s="6">
        <f>SUM(E22:E23)</f>
        <v>94252.75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35">
      <c r="B25" s="6" t="s">
        <v>21</v>
      </c>
      <c r="C25" s="5" t="s">
        <v>22</v>
      </c>
      <c r="D25" s="5">
        <v>18000</v>
      </c>
      <c r="E25" s="5">
        <v>18000</v>
      </c>
      <c r="F25" s="4">
        <f>35580.75+56900</f>
        <v>92480.75</v>
      </c>
      <c r="G25" s="5"/>
      <c r="H25" s="5"/>
      <c r="I25" s="5">
        <v>32</v>
      </c>
      <c r="J25" s="5"/>
      <c r="K25" s="5" t="s">
        <v>46</v>
      </c>
      <c r="L25" s="5" t="s">
        <v>47</v>
      </c>
      <c r="M25" s="5"/>
      <c r="N25" s="5"/>
      <c r="O25" s="5"/>
      <c r="P25" s="5"/>
      <c r="Q25" s="5"/>
      <c r="R25" s="5"/>
      <c r="S25" s="5"/>
    </row>
    <row r="26" spans="1:19" x14ac:dyDescent="0.35">
      <c r="C26" t="s">
        <v>23</v>
      </c>
      <c r="E26" t="e">
        <f>#REF!</f>
        <v>#REF!</v>
      </c>
      <c r="I26" t="s">
        <v>41</v>
      </c>
      <c r="J26" s="15">
        <v>687480</v>
      </c>
      <c r="K26">
        <f>8+8+6</f>
        <v>22</v>
      </c>
    </row>
    <row r="27" spans="1:19" x14ac:dyDescent="0.35">
      <c r="I27" t="s">
        <v>41</v>
      </c>
      <c r="J27">
        <v>1262482</v>
      </c>
    </row>
    <row r="28" spans="1:19" x14ac:dyDescent="0.35">
      <c r="I28" t="s">
        <v>42</v>
      </c>
      <c r="J28" s="15">
        <v>120000</v>
      </c>
    </row>
    <row r="29" spans="1:19" x14ac:dyDescent="0.35">
      <c r="I29" t="s">
        <v>43</v>
      </c>
      <c r="J29" s="15">
        <v>800000</v>
      </c>
    </row>
    <row r="30" spans="1:19" x14ac:dyDescent="0.35">
      <c r="J30" s="14">
        <v>2900000</v>
      </c>
    </row>
    <row r="31" spans="1:19" x14ac:dyDescent="0.35">
      <c r="I31" t="s">
        <v>44</v>
      </c>
      <c r="J31">
        <v>350000</v>
      </c>
    </row>
    <row r="32" spans="1:19" x14ac:dyDescent="0.35">
      <c r="I32" t="s">
        <v>45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opLeftCell="B1" zoomScale="85" zoomScaleNormal="85" workbookViewId="0">
      <selection activeCell="O7" sqref="O7"/>
    </sheetView>
  </sheetViews>
  <sheetFormatPr defaultRowHeight="14.5" x14ac:dyDescent="0.35"/>
  <cols>
    <col min="1" max="1" width="11.6328125" bestFit="1" customWidth="1"/>
    <col min="2" max="2" width="13.54296875" customWidth="1"/>
    <col min="3" max="3" width="13.26953125" customWidth="1"/>
    <col min="4" max="4" width="11.36328125" customWidth="1"/>
    <col min="5" max="5" width="15.6328125" customWidth="1"/>
    <col min="6" max="6" width="11.26953125" customWidth="1"/>
    <col min="7" max="7" width="13.36328125" customWidth="1"/>
    <col min="8" max="9" width="17.54296875" customWidth="1"/>
    <col min="10" max="10" width="13" bestFit="1" customWidth="1"/>
    <col min="11" max="11" width="10.36328125" bestFit="1" customWidth="1"/>
    <col min="15" max="15" width="10.36328125" bestFit="1" customWidth="1"/>
    <col min="16" max="16" width="15" bestFit="1" customWidth="1"/>
  </cols>
  <sheetData>
    <row r="1" spans="1:16" x14ac:dyDescent="0.35">
      <c r="A1" s="13"/>
      <c r="B1" s="13"/>
      <c r="C1" s="29">
        <f>SUM(Table1[TOTAL LOAN])</f>
        <v>4145622</v>
      </c>
      <c r="D1" s="30">
        <f>AVERAGE(Table1[Interest %])</f>
        <v>10.772500000000001</v>
      </c>
      <c r="E1" s="19"/>
      <c r="F1" s="29">
        <f>SUM(Table1[EMI])</f>
        <v>90434</v>
      </c>
      <c r="G1" s="19"/>
      <c r="H1" s="19"/>
      <c r="I1" s="29">
        <f>SUM(Table1[Column1])</f>
        <v>1826646</v>
      </c>
      <c r="J1" s="29">
        <f>SUM(Table1[O/S])</f>
        <v>3657201.82</v>
      </c>
      <c r="K1" s="20">
        <f>SUM(Table1[PS FEE])</f>
        <v>20058</v>
      </c>
      <c r="L1" s="19">
        <f>SUM(Table1[STAMP DUTY])</f>
        <v>500</v>
      </c>
      <c r="M1" s="19">
        <f>SUM(Table1[INSU. PRI])</f>
        <v>26750</v>
      </c>
      <c r="N1" s="19">
        <f>SUM(Table1[PRE.EMI IN.])</f>
        <v>2922</v>
      </c>
      <c r="O1" s="29">
        <f>SUM(K1:N1)</f>
        <v>50230</v>
      </c>
      <c r="P1" s="13"/>
    </row>
    <row r="2" spans="1:16" x14ac:dyDescent="0.35">
      <c r="A2" s="18" t="s">
        <v>69</v>
      </c>
      <c r="B2" s="18" t="s">
        <v>49</v>
      </c>
      <c r="C2" s="18" t="s">
        <v>51</v>
      </c>
      <c r="D2" s="18" t="s">
        <v>52</v>
      </c>
      <c r="E2" s="18" t="s">
        <v>56</v>
      </c>
      <c r="F2" s="18" t="s">
        <v>53</v>
      </c>
      <c r="G2" s="18" t="s">
        <v>54</v>
      </c>
      <c r="H2" s="18" t="s">
        <v>55</v>
      </c>
      <c r="I2" s="18" t="s">
        <v>60</v>
      </c>
      <c r="J2" s="18" t="s">
        <v>48</v>
      </c>
      <c r="K2" s="18" t="s">
        <v>62</v>
      </c>
      <c r="L2" s="18" t="s">
        <v>63</v>
      </c>
      <c r="M2" s="18" t="s">
        <v>64</v>
      </c>
      <c r="N2" s="18" t="s">
        <v>65</v>
      </c>
      <c r="O2" s="18" t="s">
        <v>66</v>
      </c>
      <c r="P2" s="18" t="s">
        <v>61</v>
      </c>
    </row>
    <row r="3" spans="1:16" x14ac:dyDescent="0.35">
      <c r="A3" s="13" t="s">
        <v>68</v>
      </c>
      <c r="B3" s="19" t="s">
        <v>50</v>
      </c>
      <c r="C3" s="20">
        <v>1000000</v>
      </c>
      <c r="D3" s="21">
        <v>10.99</v>
      </c>
      <c r="E3" s="22">
        <v>60</v>
      </c>
      <c r="F3" s="20">
        <v>21737</v>
      </c>
      <c r="G3" s="22">
        <v>15</v>
      </c>
      <c r="H3" s="22">
        <f>60-Table1[[#This Row],[Paid months]]</f>
        <v>45</v>
      </c>
      <c r="I3" s="22">
        <f>Table1[[#This Row],[Paid months]]*Table1[[#This Row],[EMI]]</f>
        <v>326055</v>
      </c>
      <c r="J3" s="20">
        <v>866913</v>
      </c>
      <c r="K3" s="22">
        <v>11682</v>
      </c>
      <c r="L3" s="22">
        <v>100</v>
      </c>
      <c r="M3" s="22">
        <v>11128</v>
      </c>
      <c r="N3" s="22">
        <v>0</v>
      </c>
      <c r="O3" s="22">
        <f>SUM(Table1[[#This Row],[PS FEE]:[PRE.EMI IN.]])</f>
        <v>22910</v>
      </c>
      <c r="P3" s="22"/>
    </row>
    <row r="4" spans="1:16" x14ac:dyDescent="0.35">
      <c r="A4" s="13">
        <v>128640637</v>
      </c>
      <c r="B4" s="19" t="s">
        <v>58</v>
      </c>
      <c r="C4" s="20">
        <v>1015622</v>
      </c>
      <c r="D4" s="21">
        <v>10.5</v>
      </c>
      <c r="E4" s="22">
        <v>60</v>
      </c>
      <c r="F4" s="20">
        <v>21830</v>
      </c>
      <c r="G4" s="22">
        <v>28</v>
      </c>
      <c r="H4" s="22">
        <f>60-Table1[[#This Row],[Paid months]]</f>
        <v>32</v>
      </c>
      <c r="I4" s="22">
        <f>Table1[[#This Row],[Paid months]]*Table1[[#This Row],[EMI]]</f>
        <v>611240</v>
      </c>
      <c r="J4" s="20">
        <v>687450.38</v>
      </c>
      <c r="K4" s="22">
        <v>2478</v>
      </c>
      <c r="L4" s="22">
        <v>200</v>
      </c>
      <c r="M4" s="22">
        <v>15622</v>
      </c>
      <c r="N4" s="22">
        <v>2922</v>
      </c>
      <c r="O4" s="22">
        <f>SUM(Table1[[#This Row],[PS FEE]:[PRE.EMI IN.]])</f>
        <v>21222</v>
      </c>
      <c r="P4" s="22"/>
    </row>
    <row r="5" spans="1:16" x14ac:dyDescent="0.35">
      <c r="A5" s="13">
        <v>140964621</v>
      </c>
      <c r="B5" s="19" t="s">
        <v>58</v>
      </c>
      <c r="C5" s="20">
        <v>1480000</v>
      </c>
      <c r="D5" s="21">
        <v>10.35</v>
      </c>
      <c r="E5" s="22">
        <v>60</v>
      </c>
      <c r="F5" s="20">
        <v>31701</v>
      </c>
      <c r="G5" s="22">
        <v>16</v>
      </c>
      <c r="H5" s="22">
        <f>60-Table1[[#This Row],[Paid months]]</f>
        <v>44</v>
      </c>
      <c r="I5" s="22">
        <f>Table1[[#This Row],[Paid months]]*Table1[[#This Row],[EMI]]</f>
        <v>507216</v>
      </c>
      <c r="J5" s="20">
        <v>1262482.44</v>
      </c>
      <c r="K5" s="22">
        <v>5898</v>
      </c>
      <c r="L5" s="22">
        <v>200</v>
      </c>
      <c r="M5" s="22">
        <v>0</v>
      </c>
      <c r="N5" s="22">
        <v>0</v>
      </c>
      <c r="O5" s="22">
        <f>SUM(Table1[[#This Row],[PS FEE]:[PRE.EMI IN.]])</f>
        <v>6098</v>
      </c>
      <c r="P5" s="22"/>
    </row>
    <row r="6" spans="1:16" x14ac:dyDescent="0.35">
      <c r="A6" s="13" t="s">
        <v>67</v>
      </c>
      <c r="B6" s="19" t="s">
        <v>57</v>
      </c>
      <c r="C6" s="20">
        <v>300000</v>
      </c>
      <c r="D6" s="21">
        <v>11.25</v>
      </c>
      <c r="E6" s="22">
        <v>60</v>
      </c>
      <c r="F6" s="20">
        <v>6585</v>
      </c>
      <c r="G6" s="22">
        <v>45</v>
      </c>
      <c r="H6" s="22">
        <f>60-Table1[[#This Row],[Paid months]]</f>
        <v>15</v>
      </c>
      <c r="I6" s="22">
        <f>Table1[[#This Row],[Paid months]]*Table1[[#This Row],[EMI]]</f>
        <v>296325</v>
      </c>
      <c r="J6" s="20">
        <v>119552</v>
      </c>
      <c r="K6" s="22"/>
      <c r="L6" s="22"/>
      <c r="M6" s="22"/>
      <c r="N6" s="22"/>
      <c r="O6" s="22">
        <f>SUM(Table1[[#This Row],[PS FEE]:[PRE.EMI IN.]])</f>
        <v>0</v>
      </c>
      <c r="P6" s="22"/>
    </row>
    <row r="7" spans="1:16" x14ac:dyDescent="0.35">
      <c r="A7" s="13">
        <v>5466147</v>
      </c>
      <c r="B7" s="19" t="s">
        <v>59</v>
      </c>
      <c r="C7" s="20">
        <v>350000</v>
      </c>
      <c r="D7" s="21"/>
      <c r="E7" s="22">
        <v>84</v>
      </c>
      <c r="F7" s="20">
        <v>8581</v>
      </c>
      <c r="G7" s="22">
        <v>10</v>
      </c>
      <c r="H7" s="22">
        <f>84-Table1[[#This Row],[Paid months]]</f>
        <v>74</v>
      </c>
      <c r="I7" s="22">
        <f>Table1[[#This Row],[Paid months]]*Table1[[#This Row],[EMI]]</f>
        <v>85810</v>
      </c>
      <c r="J7" s="20">
        <f>Table1[[#This Row],[EMI]]*Table1[[#This Row],[Tenure months]]</f>
        <v>720804</v>
      </c>
      <c r="K7" s="22"/>
      <c r="L7" s="22"/>
      <c r="M7" s="22"/>
      <c r="N7" s="22"/>
      <c r="O7" s="22">
        <f>SUM(Table1[[#This Row],[PS FEE]:[PRE.EMI IN.]])</f>
        <v>0</v>
      </c>
      <c r="P7" s="22">
        <v>7032857123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zoomScale="70" zoomScaleNormal="70" workbookViewId="0">
      <selection activeCell="L3" sqref="L3"/>
    </sheetView>
  </sheetViews>
  <sheetFormatPr defaultRowHeight="14.5" x14ac:dyDescent="0.35"/>
  <cols>
    <col min="2" max="2" width="9.6328125" customWidth="1"/>
    <col min="3" max="3" width="13.54296875" customWidth="1"/>
    <col min="4" max="4" width="13.26953125" customWidth="1"/>
    <col min="5" max="5" width="11.36328125" customWidth="1"/>
    <col min="6" max="6" width="15.6328125" customWidth="1"/>
    <col min="7" max="7" width="6.08984375" customWidth="1"/>
    <col min="8" max="8" width="13.36328125" customWidth="1"/>
    <col min="9" max="9" width="17.54296875" customWidth="1"/>
    <col min="10" max="10" width="8.81640625" bestFit="1" customWidth="1"/>
    <col min="11" max="11" width="8.1796875" customWidth="1"/>
    <col min="12" max="12" width="13.7265625" customWidth="1"/>
    <col min="13" max="13" width="10.54296875" customWidth="1"/>
    <col min="14" max="14" width="12.6328125" customWidth="1"/>
    <col min="15" max="15" width="9.6328125" customWidth="1"/>
    <col min="16" max="16" width="13.90625" customWidth="1"/>
    <col min="17" max="17" width="10.26953125" customWidth="1"/>
  </cols>
  <sheetData>
    <row r="1" spans="1:17" x14ac:dyDescent="0.35">
      <c r="D1" s="17">
        <f>SUM(Table3[TOTAL LOAN])</f>
        <v>850747</v>
      </c>
      <c r="E1" s="13"/>
      <c r="F1" s="13"/>
      <c r="G1" s="13"/>
      <c r="H1" s="17">
        <f>SUM(Table3[Paid months])</f>
        <v>987926</v>
      </c>
      <c r="I1" s="13"/>
      <c r="J1" s="17">
        <f>SUM(Table3[O/S])</f>
        <v>0</v>
      </c>
      <c r="K1" s="13"/>
      <c r="L1" s="13"/>
      <c r="M1" s="13"/>
      <c r="N1" s="13"/>
      <c r="O1" s="17">
        <f>SUM(Table3[TOAL PS])</f>
        <v>13200</v>
      </c>
    </row>
    <row r="2" spans="1:17" x14ac:dyDescent="0.35">
      <c r="A2" s="16" t="s">
        <v>70</v>
      </c>
      <c r="B2" s="18" t="s">
        <v>69</v>
      </c>
      <c r="C2" s="24" t="s">
        <v>49</v>
      </c>
      <c r="D2" s="18" t="s">
        <v>51</v>
      </c>
      <c r="E2" s="18" t="s">
        <v>52</v>
      </c>
      <c r="F2" s="18" t="s">
        <v>56</v>
      </c>
      <c r="G2" s="18" t="s">
        <v>53</v>
      </c>
      <c r="H2" s="18" t="s">
        <v>54</v>
      </c>
      <c r="I2" s="18" t="s">
        <v>55</v>
      </c>
      <c r="J2" s="18" t="s">
        <v>48</v>
      </c>
      <c r="K2" s="18" t="s">
        <v>62</v>
      </c>
      <c r="L2" s="18" t="s">
        <v>63</v>
      </c>
      <c r="M2" s="18" t="s">
        <v>64</v>
      </c>
      <c r="N2" s="18" t="s">
        <v>65</v>
      </c>
      <c r="O2" s="18" t="s">
        <v>66</v>
      </c>
      <c r="P2" s="23" t="s">
        <v>61</v>
      </c>
      <c r="Q2" s="18" t="s">
        <v>60</v>
      </c>
    </row>
    <row r="3" spans="1:17" x14ac:dyDescent="0.35">
      <c r="A3" s="25">
        <v>1</v>
      </c>
      <c r="B3" s="25"/>
      <c r="C3" s="25"/>
      <c r="D3" s="26">
        <v>530000</v>
      </c>
      <c r="E3" s="27">
        <v>1.6</v>
      </c>
      <c r="F3" s="27">
        <f>3+365+31+29+24</f>
        <v>452</v>
      </c>
      <c r="G3" s="27">
        <v>1694</v>
      </c>
      <c r="H3" s="27">
        <v>634344</v>
      </c>
      <c r="I3" s="27">
        <v>0</v>
      </c>
      <c r="J3" s="27">
        <v>0</v>
      </c>
      <c r="K3" s="27">
        <v>10600</v>
      </c>
      <c r="L3" s="27">
        <v>0</v>
      </c>
      <c r="M3" s="27">
        <v>0</v>
      </c>
      <c r="N3" s="27">
        <v>0</v>
      </c>
      <c r="O3" s="27">
        <f>SUM(K3:N7)</f>
        <v>11600</v>
      </c>
      <c r="P3" s="25"/>
      <c r="Q3" s="25"/>
    </row>
    <row r="4" spans="1:17" x14ac:dyDescent="0.35">
      <c r="A4" s="25"/>
      <c r="B4" s="25"/>
      <c r="C4" s="25"/>
      <c r="D4" s="26">
        <v>20000</v>
      </c>
      <c r="E4" s="27">
        <v>2</v>
      </c>
      <c r="F4" s="27">
        <v>180</v>
      </c>
      <c r="G4" s="27">
        <v>145</v>
      </c>
      <c r="H4" s="27">
        <v>22475</v>
      </c>
      <c r="I4" s="27">
        <v>0</v>
      </c>
      <c r="J4" s="27">
        <v>0</v>
      </c>
      <c r="K4" s="27">
        <v>400</v>
      </c>
      <c r="L4" s="27">
        <v>0</v>
      </c>
      <c r="M4" s="27">
        <v>0</v>
      </c>
      <c r="N4" s="27">
        <v>0</v>
      </c>
      <c r="O4" s="27">
        <f>SUM(K4:N5)</f>
        <v>1000</v>
      </c>
      <c r="P4" s="25"/>
      <c r="Q4" s="25"/>
    </row>
    <row r="5" spans="1:17" x14ac:dyDescent="0.35">
      <c r="A5" s="25"/>
      <c r="B5" s="25"/>
      <c r="C5" s="25"/>
      <c r="D5" s="26">
        <v>30000</v>
      </c>
      <c r="E5" s="27">
        <v>1.75</v>
      </c>
      <c r="F5" s="28">
        <v>120</v>
      </c>
      <c r="G5" s="27">
        <v>411</v>
      </c>
      <c r="H5" s="27">
        <v>31647</v>
      </c>
      <c r="I5" s="27">
        <v>0</v>
      </c>
      <c r="J5" s="27">
        <v>0</v>
      </c>
      <c r="K5" s="27">
        <v>600</v>
      </c>
      <c r="L5" s="27">
        <v>0</v>
      </c>
      <c r="M5" s="27">
        <v>0</v>
      </c>
      <c r="N5" s="27">
        <v>0</v>
      </c>
      <c r="O5" s="27">
        <f>SUM(K5:N7)</f>
        <v>600</v>
      </c>
      <c r="P5" s="25"/>
      <c r="Q5" s="25"/>
    </row>
    <row r="6" spans="1:17" x14ac:dyDescent="0.35">
      <c r="A6" s="25"/>
      <c r="B6" s="25"/>
      <c r="C6" s="25"/>
      <c r="D6" s="26">
        <v>75747</v>
      </c>
      <c r="E6" s="27">
        <v>1.75</v>
      </c>
      <c r="F6" s="28">
        <f>7*30</f>
        <v>210</v>
      </c>
      <c r="G6" s="27">
        <v>541</v>
      </c>
      <c r="H6" s="27">
        <v>83855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f>SUM(K6:N9)</f>
        <v>0</v>
      </c>
      <c r="P6" s="25"/>
      <c r="Q6" s="25"/>
    </row>
    <row r="7" spans="1:17" x14ac:dyDescent="0.35">
      <c r="A7" s="25"/>
      <c r="B7" s="25"/>
      <c r="C7" s="25"/>
      <c r="D7" s="26">
        <v>195000</v>
      </c>
      <c r="E7" s="27">
        <v>1.6</v>
      </c>
      <c r="F7" s="28">
        <v>210</v>
      </c>
      <c r="G7" s="27">
        <v>1391</v>
      </c>
      <c r="H7" s="27">
        <v>215605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5"/>
      <c r="Q7" s="2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B2" sqref="B2"/>
    </sheetView>
  </sheetViews>
  <sheetFormatPr defaultRowHeight="14.5" x14ac:dyDescent="0.35"/>
  <cols>
    <col min="3" max="3" width="10.36328125" bestFit="1" customWidth="1"/>
    <col min="6" max="6" width="17.54296875" bestFit="1" customWidth="1"/>
    <col min="8" max="8" width="11.54296875" bestFit="1" customWidth="1"/>
    <col min="9" max="9" width="11.7265625" bestFit="1" customWidth="1"/>
    <col min="11" max="11" width="10.90625" bestFit="1" customWidth="1"/>
  </cols>
  <sheetData>
    <row r="1" spans="1:11" x14ac:dyDescent="0.35"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3" spans="1:11" x14ac:dyDescent="0.35">
      <c r="A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Finance -2024</vt:lpstr>
      <vt:lpstr>EMIs &amp; OS</vt:lpstr>
      <vt:lpstr>Kalyani-EMIs</vt:lpstr>
      <vt:lpstr>Company Fundamentals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2024-09-02T01:12:43Z</dcterms:modified>
</cp:coreProperties>
</file>